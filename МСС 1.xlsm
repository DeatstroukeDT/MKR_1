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OneDrive\Рабочий стол\учеба\мсс\"/>
    </mc:Choice>
  </mc:AlternateContent>
  <bookViews>
    <workbookView xWindow="0" yWindow="0" windowWidth="13212" windowHeight="5400" firstSheet="1" activeTab="2"/>
  </bookViews>
  <sheets>
    <sheet name="Лист1" sheetId="1" r:id="rId1"/>
    <sheet name="Лист2" sheetId="2" r:id="rId2"/>
    <sheet name="Лист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3" l="1"/>
  <c r="E13" i="3"/>
  <c r="AH12" i="3"/>
  <c r="R12" i="3"/>
  <c r="F9" i="3"/>
  <c r="G9" i="3" s="1"/>
  <c r="H9" i="3" s="1"/>
  <c r="I9" i="3" s="1"/>
  <c r="J9" i="3" s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 s="1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B2" i="3"/>
  <c r="AI13" i="3" s="1"/>
  <c r="S12" i="3" l="1"/>
  <c r="U13" i="3"/>
  <c r="J12" i="3"/>
  <c r="J13" i="3"/>
  <c r="L13" i="3"/>
  <c r="L12" i="3"/>
  <c r="AB12" i="3"/>
  <c r="M13" i="3"/>
  <c r="AI12" i="3"/>
  <c r="E10" i="3"/>
  <c r="F13" i="3" s="1"/>
  <c r="U12" i="3"/>
  <c r="AB13" i="3"/>
  <c r="Z12" i="3"/>
  <c r="AH13" i="3"/>
  <c r="K12" i="3"/>
  <c r="AA12" i="3"/>
  <c r="M12" i="3"/>
  <c r="AC12" i="3"/>
  <c r="R13" i="3"/>
  <c r="T12" i="3"/>
  <c r="A16" i="3"/>
  <c r="Z13" i="3"/>
  <c r="AC13" i="3"/>
  <c r="N12" i="3"/>
  <c r="V12" i="3"/>
  <c r="AD12" i="3"/>
  <c r="N13" i="3"/>
  <c r="V13" i="3"/>
  <c r="AD13" i="3"/>
  <c r="O13" i="3"/>
  <c r="G12" i="3"/>
  <c r="O12" i="3"/>
  <c r="W12" i="3"/>
  <c r="AE12" i="3"/>
  <c r="G13" i="3"/>
  <c r="W13" i="3"/>
  <c r="AE13" i="3"/>
  <c r="H12" i="3"/>
  <c r="P12" i="3"/>
  <c r="X12" i="3"/>
  <c r="AF12" i="3"/>
  <c r="H13" i="3"/>
  <c r="P13" i="3"/>
  <c r="X13" i="3"/>
  <c r="AF13" i="3"/>
  <c r="I12" i="3"/>
  <c r="Q12" i="3"/>
  <c r="Y12" i="3"/>
  <c r="AG12" i="3"/>
  <c r="I13" i="3"/>
  <c r="Q13" i="3"/>
  <c r="Y13" i="3"/>
  <c r="AG13" i="3"/>
  <c r="K13" i="3"/>
  <c r="S13" i="3"/>
  <c r="AA13" i="3"/>
  <c r="F12" i="3" l="1"/>
  <c r="AD13" i="2" l="1"/>
  <c r="E13" i="2"/>
  <c r="F9" i="2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B2" i="2"/>
  <c r="AF13" i="2" s="1"/>
  <c r="E10" i="2" l="1"/>
  <c r="F12" i="2" s="1"/>
  <c r="P12" i="2"/>
  <c r="U12" i="2"/>
  <c r="AF12" i="2"/>
  <c r="X12" i="2"/>
  <c r="H12" i="2"/>
  <c r="N13" i="2"/>
  <c r="AC12" i="2"/>
  <c r="M12" i="2"/>
  <c r="V13" i="2"/>
  <c r="Q13" i="2"/>
  <c r="AG13" i="2"/>
  <c r="I12" i="2"/>
  <c r="Y12" i="2"/>
  <c r="J13" i="2"/>
  <c r="Z13" i="2"/>
  <c r="J12" i="2"/>
  <c r="Z12" i="2"/>
  <c r="K13" i="2"/>
  <c r="AA13" i="2"/>
  <c r="K12" i="2"/>
  <c r="S12" i="2"/>
  <c r="AA12" i="2"/>
  <c r="A16" i="2"/>
  <c r="L13" i="2"/>
  <c r="T13" i="2"/>
  <c r="AB13" i="2"/>
  <c r="I13" i="2"/>
  <c r="Y13" i="2"/>
  <c r="Q12" i="2"/>
  <c r="AG12" i="2"/>
  <c r="R13" i="2"/>
  <c r="AH13" i="2"/>
  <c r="R12" i="2"/>
  <c r="AH12" i="2"/>
  <c r="S13" i="2"/>
  <c r="L12" i="2"/>
  <c r="T12" i="2"/>
  <c r="AB12" i="2"/>
  <c r="M13" i="2"/>
  <c r="U13" i="2"/>
  <c r="AC13" i="2"/>
  <c r="N12" i="2"/>
  <c r="V12" i="2"/>
  <c r="AD12" i="2"/>
  <c r="G13" i="2"/>
  <c r="O13" i="2"/>
  <c r="W13" i="2"/>
  <c r="AE13" i="2"/>
  <c r="G12" i="2"/>
  <c r="O12" i="2"/>
  <c r="W12" i="2"/>
  <c r="AE12" i="2"/>
  <c r="H13" i="2"/>
  <c r="P13" i="2"/>
  <c r="X13" i="2"/>
  <c r="F13" i="2" l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F13" i="1"/>
  <c r="B3" i="1"/>
  <c r="AI11" i="1"/>
  <c r="E11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B2" i="1"/>
</calcChain>
</file>

<file path=xl/sharedStrings.xml><?xml version="1.0" encoding="utf-8"?>
<sst xmlns="http://schemas.openxmlformats.org/spreadsheetml/2006/main" count="38" uniqueCount="19">
  <si>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</si>
  <si>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</si>
  <si>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</si>
  <si>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</si>
  <si>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</si>
  <si>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</si>
  <si>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</si>
  <si>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</si>
  <si>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</si>
  <si>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ro</t>
  </si>
  <si>
    <t>lambda</t>
  </si>
  <si>
    <t>Q_start</t>
  </si>
  <si>
    <t>T_end</t>
  </si>
  <si>
    <t>T</t>
  </si>
  <si>
    <t>T_iter</t>
  </si>
  <si>
    <t>q</t>
  </si>
  <si>
    <t>alfa</t>
  </si>
  <si>
    <t>T_gas</t>
  </si>
  <si>
    <t>a(T_w-T_gas)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</si>
</sst>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260.692058293598</c:v>
                </c:pt>
                <c:pt idx="3">
                  <c:v>241.69187227593494</c:v>
                </c:pt>
                <c:pt idx="4">
                  <c:v>222.69168625827189</c:v>
                </c:pt>
                <c:pt idx="5">
                  <c:v>204.95390631913148</c:v>
                </c:pt>
                <c:pt idx="6">
                  <c:v>187.2161263799911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96.561989352755035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94.888886025938561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7171296296296298"/>
          <c:w val="0.8775301837270341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Лист2!$E$9:$AI$9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Лист2!$E$10:$AI$10</c:f>
              <c:numCache>
                <c:formatCode>General</c:formatCode>
                <c:ptCount val="31"/>
                <c:pt idx="0">
                  <c:v>299.99999999998386</c:v>
                </c:pt>
                <c:pt idx="1">
                  <c:v>293.33333333331717</c:v>
                </c:pt>
                <c:pt idx="2">
                  <c:v>286.66666666665054</c:v>
                </c:pt>
                <c:pt idx="3">
                  <c:v>279.99999999998397</c:v>
                </c:pt>
                <c:pt idx="4">
                  <c:v>273.33333333331746</c:v>
                </c:pt>
                <c:pt idx="5">
                  <c:v>266.666666666651</c:v>
                </c:pt>
                <c:pt idx="6">
                  <c:v>259.9999999999846</c:v>
                </c:pt>
                <c:pt idx="7">
                  <c:v>253.33333333331828</c:v>
                </c:pt>
                <c:pt idx="8">
                  <c:v>246.66666666665196</c:v>
                </c:pt>
                <c:pt idx="9">
                  <c:v>239.99999999998568</c:v>
                </c:pt>
                <c:pt idx="10">
                  <c:v>233.33333333331942</c:v>
                </c:pt>
                <c:pt idx="11">
                  <c:v>226.66666666665319</c:v>
                </c:pt>
                <c:pt idx="12">
                  <c:v>219.99999999998698</c:v>
                </c:pt>
                <c:pt idx="13">
                  <c:v>213.33333333332081</c:v>
                </c:pt>
                <c:pt idx="14">
                  <c:v>206.66666666665466</c:v>
                </c:pt>
                <c:pt idx="15">
                  <c:v>199.99999999998855</c:v>
                </c:pt>
                <c:pt idx="16">
                  <c:v>193.33333333332246</c:v>
                </c:pt>
                <c:pt idx="17">
                  <c:v>186.6666666666564</c:v>
                </c:pt>
                <c:pt idx="18">
                  <c:v>179.99999999999037</c:v>
                </c:pt>
                <c:pt idx="19">
                  <c:v>173.33333333332436</c:v>
                </c:pt>
                <c:pt idx="20">
                  <c:v>166.66666666665839</c:v>
                </c:pt>
                <c:pt idx="21">
                  <c:v>159.99999999999244</c:v>
                </c:pt>
                <c:pt idx="22">
                  <c:v>153.33333333332652</c:v>
                </c:pt>
                <c:pt idx="23">
                  <c:v>146.66666666666063</c:v>
                </c:pt>
                <c:pt idx="24">
                  <c:v>139.99999999999477</c:v>
                </c:pt>
                <c:pt idx="25">
                  <c:v>133.33333333332894</c:v>
                </c:pt>
                <c:pt idx="26">
                  <c:v>126.66666666666313</c:v>
                </c:pt>
                <c:pt idx="27">
                  <c:v>119.99999999999733</c:v>
                </c:pt>
                <c:pt idx="28">
                  <c:v>113.33333333333154</c:v>
                </c:pt>
                <c:pt idx="29">
                  <c:v>106.66666666666576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8-49DF-8023-FEE0C10B8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734016"/>
        <c:axId val="721729856"/>
      </c:scatterChart>
      <c:valAx>
        <c:axId val="72173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1729856"/>
        <c:crosses val="autoZero"/>
        <c:crossBetween val="midCat"/>
      </c:valAx>
      <c:valAx>
        <c:axId val="7217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173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Лист3!$E$9:$AI$9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Лист3!$E$10:$AI$10</c:f>
              <c:numCache>
                <c:formatCode>General</c:formatCode>
                <c:ptCount val="31"/>
                <c:pt idx="0">
                  <c:v>8.6698129690905539</c:v>
                </c:pt>
                <c:pt idx="1">
                  <c:v>11.620042103373216</c:v>
                </c:pt>
                <c:pt idx="2">
                  <c:v>14.683200067404508</c:v>
                </c:pt>
                <c:pt idx="3">
                  <c:v>17.634637019822851</c:v>
                </c:pt>
                <c:pt idx="4">
                  <c:v>20.698923504479158</c:v>
                </c:pt>
                <c:pt idx="5">
                  <c:v>23.653940143814484</c:v>
                </c:pt>
                <c:pt idx="6">
                  <c:v>26.720411063680451</c:v>
                </c:pt>
                <c:pt idx="7">
                  <c:v>29.681249811724996</c:v>
                </c:pt>
                <c:pt idx="8">
                  <c:v>32.750819395250154</c:v>
                </c:pt>
                <c:pt idx="9">
                  <c:v>35.719513031279398</c:v>
                </c:pt>
                <c:pt idx="10">
                  <c:v>38.792891630469633</c:v>
                </c:pt>
                <c:pt idx="11">
                  <c:v>41.771191964471697</c:v>
                </c:pt>
                <c:pt idx="12">
                  <c:v>44.848833801352988</c:v>
                </c:pt>
                <c:pt idx="13">
                  <c:v>47.838152206832454</c:v>
                </c:pt>
                <c:pt idx="14">
                  <c:v>50.920215646447353</c:v>
                </c:pt>
                <c:pt idx="15">
                  <c:v>53.921577917116963</c:v>
                </c:pt>
                <c:pt idx="16">
                  <c:v>57.007900279968744</c:v>
                </c:pt>
                <c:pt idx="17">
                  <c:v>60.021917639293655</c:v>
                </c:pt>
                <c:pt idx="18">
                  <c:v>63.112005895873295</c:v>
                </c:pt>
                <c:pt idx="19">
                  <c:v>66.13886327281827</c:v>
                </c:pt>
                <c:pt idx="20">
                  <c:v>69.2319012295725</c:v>
                </c:pt>
                <c:pt idx="21">
                  <c:v>72.271363150204579</c:v>
                </c:pt>
                <c:pt idx="22">
                  <c:v>75.366234973338734</c:v>
                </c:pt>
                <c:pt idx="23">
                  <c:v>78.417668640484919</c:v>
                </c:pt>
                <c:pt idx="24">
                  <c:v>81.512997806019797</c:v>
                </c:pt>
                <c:pt idx="25">
                  <c:v>84.575412182898702</c:v>
                </c:pt>
                <c:pt idx="26">
                  <c:v>87.669614222892577</c:v>
                </c:pt>
                <c:pt idx="27">
                  <c:v>90.741713235478215</c:v>
                </c:pt>
                <c:pt idx="28">
                  <c:v>93.833060003995683</c:v>
                </c:pt>
                <c:pt idx="29">
                  <c:v>96.913307362271354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51-4CD0-B28B-9B457DDD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411215"/>
        <c:axId val="699404559"/>
      </c:scatterChart>
      <c:valAx>
        <c:axId val="699411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9404559"/>
        <c:crosses val="autoZero"/>
        <c:crossBetween val="midCat"/>
      </c:valAx>
      <c:valAx>
        <c:axId val="69940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9411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250371</xdr:colOff>
      <xdr:row>13</xdr:row>
      <xdr:rowOff>65313</xdr:rowOff>
    </xdr:from>
    <xdr:to>
      <xdr:col>25</xdr:col>
      <xdr:colOff>141514</xdr:colOff>
      <xdr:row>37</xdr:row>
      <xdr:rowOff>163285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13</xdr:row>
      <xdr:rowOff>160020</xdr:rowOff>
    </xdr:from>
    <xdr:to>
      <xdr:col>11</xdr:col>
      <xdr:colOff>552450</xdr:colOff>
      <xdr:row>28</xdr:row>
      <xdr:rowOff>160020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293370</xdr:colOff>
      <xdr:row>14</xdr:row>
      <xdr:rowOff>60960</xdr:rowOff>
    </xdr:from>
    <xdr:to>
      <xdr:col>10</xdr:col>
      <xdr:colOff>598170</xdr:colOff>
      <xdr:row>29</xdr:row>
      <xdr:rowOff>60960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3"/>
  <sheetViews>
    <sheetView zoomScale="70" zoomScaleNormal="70" workbookViewId="0">
      <selection activeCell="F21" sqref="F21"/>
    </sheetView>
  </sheetViews>
  <sheetFormatPr defaultRowHeight="14.4" x14ac:dyDescent="0.3"/>
  <cols>
    <col min="5" max="35" width="7.44140625" bestFit="1" customWidth="1"/>
  </cols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f>(B7*B6*B2^2)/(2*B8)</f>
        <v>0.4333333333333334</v>
      </c>
    </row>
    <row r="4" spans="1:35" x14ac:dyDescent="0.3">
      <c r="A4" t="s">
        <v>3</v>
      </c>
      <c r="B4">
        <v>60</v>
      </c>
      <c r="C4">
        <v>60.233333333333341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3">
      <c r="A11" t="s">
        <v>8</v>
      </c>
      <c r="B11">
        <v>100</v>
      </c>
      <c r="D11" t="s">
        <v>3</v>
      </c>
      <c r="E11">
        <f>B10</f>
        <v>300</v>
      </c>
      <c r="F11">
        <v>280.34602914679897</v>
      </c>
      <c r="G11">
        <v>260.692058293598</v>
      </c>
      <c r="H11">
        <v>241.69187227593494</v>
      </c>
      <c r="I11">
        <v>222.69168625827189</v>
      </c>
      <c r="J11">
        <v>204.95390631913148</v>
      </c>
      <c r="K11">
        <v>187.2161263799911</v>
      </c>
      <c r="L11">
        <v>171.26453784334268</v>
      </c>
      <c r="M11">
        <v>155.31294930669429</v>
      </c>
      <c r="N11">
        <v>141.55671337374599</v>
      </c>
      <c r="O11">
        <v>127.80047744079765</v>
      </c>
      <c r="P11">
        <v>116.51671674932982</v>
      </c>
      <c r="Q11">
        <v>105.23295605786197</v>
      </c>
      <c r="R11">
        <v>96.561989352755035</v>
      </c>
      <c r="S11">
        <v>87.891022647648128</v>
      </c>
      <c r="T11">
        <v>81.842538774051832</v>
      </c>
      <c r="U11">
        <v>75.794054900455549</v>
      </c>
      <c r="V11">
        <v>72.261187114604226</v>
      </c>
      <c r="W11">
        <v>68.728319328752917</v>
      </c>
      <c r="X11">
        <v>67.506108522455037</v>
      </c>
      <c r="Y11">
        <v>66.283897716157142</v>
      </c>
      <c r="Z11">
        <v>67.088962026000345</v>
      </c>
      <c r="AA11">
        <v>67.894026335843549</v>
      </c>
      <c r="AB11">
        <v>70.383127200086093</v>
      </c>
      <c r="AC11">
        <v>72.872228064328638</v>
      </c>
      <c r="AD11">
        <v>76.658491877071754</v>
      </c>
      <c r="AE11">
        <v>80.444755689814855</v>
      </c>
      <c r="AF11">
        <v>85.111263870845988</v>
      </c>
      <c r="AG11">
        <v>89.777772051877108</v>
      </c>
      <c r="AH11">
        <v>94.888886025938561</v>
      </c>
      <c r="AI11">
        <f>B11</f>
        <v>100</v>
      </c>
    </row>
    <row r="13" spans="1:35" x14ac:dyDescent="0.3">
      <c r="F13">
        <f>F11+$B$8*$B$3/($B$7*$B$6)*(E11-2*F11+G11)/($B$2^2)</f>
        <v>280.34602914679897</v>
      </c>
      <c r="G13">
        <f t="shared" ref="G13:AH13" si="1">G11+$B$8*$B$3/($B$7*$B$6)*(F11-2*G11+H11)/($B$2^2)</f>
        <v>261.01895071136698</v>
      </c>
      <c r="H13">
        <f t="shared" si="1"/>
        <v>241.69187227593494</v>
      </c>
      <c r="I13">
        <f t="shared" si="1"/>
        <v>223.32288929753321</v>
      </c>
      <c r="J13">
        <f t="shared" si="1"/>
        <v>204.95390631913148</v>
      </c>
      <c r="K13">
        <f t="shared" si="1"/>
        <v>188.10922208123708</v>
      </c>
      <c r="L13">
        <f t="shared" si="1"/>
        <v>171.26453784334268</v>
      </c>
      <c r="M13">
        <f t="shared" si="1"/>
        <v>156.41062560854434</v>
      </c>
      <c r="N13">
        <f t="shared" si="1"/>
        <v>141.55671337374596</v>
      </c>
      <c r="O13">
        <f t="shared" si="1"/>
        <v>129.0367150615379</v>
      </c>
      <c r="P13">
        <f t="shared" si="1"/>
        <v>116.51671674932982</v>
      </c>
      <c r="Q13">
        <f t="shared" si="1"/>
        <v>106.53935305104243</v>
      </c>
      <c r="R13">
        <f t="shared" si="1"/>
        <v>96.561989352755049</v>
      </c>
      <c r="S13">
        <f t="shared" si="1"/>
        <v>89.202264063403433</v>
      </c>
      <c r="T13">
        <f t="shared" si="1"/>
        <v>81.842538774051832</v>
      </c>
      <c r="U13">
        <f t="shared" si="1"/>
        <v>77.051862944328036</v>
      </c>
      <c r="V13">
        <f t="shared" si="1"/>
        <v>72.26118711460424</v>
      </c>
      <c r="W13">
        <f t="shared" si="1"/>
        <v>69.883647818529624</v>
      </c>
      <c r="X13">
        <f t="shared" si="1"/>
        <v>67.506108522455037</v>
      </c>
      <c r="Y13">
        <f t="shared" si="1"/>
        <v>67.297535274227698</v>
      </c>
      <c r="Z13">
        <f t="shared" si="1"/>
        <v>67.088962026000345</v>
      </c>
      <c r="AA13">
        <f t="shared" si="1"/>
        <v>68.736044613043219</v>
      </c>
      <c r="AB13">
        <f t="shared" si="1"/>
        <v>70.383127200086093</v>
      </c>
      <c r="AC13">
        <f t="shared" si="1"/>
        <v>73.520809538578931</v>
      </c>
      <c r="AD13">
        <f t="shared" si="1"/>
        <v>76.658491877071754</v>
      </c>
      <c r="AE13">
        <f t="shared" si="1"/>
        <v>80.884877873958871</v>
      </c>
      <c r="AF13">
        <f t="shared" si="1"/>
        <v>85.111263870845988</v>
      </c>
      <c r="AG13">
        <f t="shared" si="1"/>
        <v>90.000074948392268</v>
      </c>
      <c r="AH13">
        <f t="shared" si="1"/>
        <v>94.888886025938547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16"/>
  <sheetViews>
    <sheetView workbookViewId="0">
      <selection activeCell="C22" sqref="C22"/>
    </sheetView>
  </sheetViews>
  <sheetFormatPr defaultRowHeight="14.4" x14ac:dyDescent="0.3"/>
  <sheetData>
    <row r="1" spans="1:35" x14ac:dyDescent="0.3">
      <c r="A1" s="2" t="s">
        <v>0</v>
      </c>
      <c r="B1" s="2">
        <v>0.1</v>
      </c>
    </row>
    <row r="2" spans="1:35" x14ac:dyDescent="0.3">
      <c r="A2" s="2" t="s">
        <v>1</v>
      </c>
      <c r="B2" s="2">
        <f>B1/30</f>
        <v>3.3333333333333335E-3</v>
      </c>
    </row>
    <row r="3" spans="1:35" x14ac:dyDescent="0.3">
      <c r="A3" s="2" t="s">
        <v>2</v>
      </c>
      <c r="B3" s="2">
        <v>0.433</v>
      </c>
    </row>
    <row r="4" spans="1:35" x14ac:dyDescent="0.3">
      <c r="A4" s="2" t="s">
        <v>3</v>
      </c>
      <c r="B4" s="2">
        <v>5000</v>
      </c>
      <c r="C4">
        <v>5000.2839999999997</v>
      </c>
    </row>
    <row r="5" spans="1:35" x14ac:dyDescent="0.3">
      <c r="A5" s="2"/>
      <c r="B5" s="2"/>
    </row>
    <row r="6" spans="1:35" x14ac:dyDescent="0.3">
      <c r="A6" s="2" t="s">
        <v>4</v>
      </c>
      <c r="B6" s="2">
        <v>460</v>
      </c>
    </row>
    <row r="7" spans="1:35" x14ac:dyDescent="0.3">
      <c r="A7" s="2" t="s">
        <v>9</v>
      </c>
      <c r="B7" s="2">
        <v>7800</v>
      </c>
    </row>
    <row r="8" spans="1:35" x14ac:dyDescent="0.3">
      <c r="A8" s="2" t="s">
        <v>10</v>
      </c>
      <c r="B8" s="2">
        <v>46</v>
      </c>
      <c r="E8" s="2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2">
        <v>12</v>
      </c>
      <c r="Q8" s="2">
        <v>13</v>
      </c>
      <c r="R8" s="2">
        <v>14</v>
      </c>
      <c r="S8" s="2">
        <v>15</v>
      </c>
      <c r="T8" s="2">
        <v>16</v>
      </c>
      <c r="U8" s="2">
        <v>17</v>
      </c>
      <c r="V8" s="2">
        <v>18</v>
      </c>
      <c r="W8" s="2">
        <v>19</v>
      </c>
      <c r="X8" s="2">
        <v>20</v>
      </c>
      <c r="Y8" s="2">
        <v>21</v>
      </c>
      <c r="Z8" s="2">
        <v>22</v>
      </c>
      <c r="AA8" s="2">
        <v>23</v>
      </c>
      <c r="AB8" s="2">
        <v>24</v>
      </c>
      <c r="AC8" s="2">
        <v>25</v>
      </c>
      <c r="AD8" s="2">
        <v>26</v>
      </c>
      <c r="AE8" s="2">
        <v>27</v>
      </c>
      <c r="AF8" s="2">
        <v>28</v>
      </c>
      <c r="AG8" s="2">
        <v>29</v>
      </c>
      <c r="AH8" s="2">
        <v>30</v>
      </c>
      <c r="AI8" s="2">
        <v>31</v>
      </c>
    </row>
    <row r="9" spans="1:35" x14ac:dyDescent="0.3">
      <c r="A9" s="2"/>
      <c r="B9" s="2"/>
      <c r="D9" t="s">
        <v>0</v>
      </c>
      <c r="E9" s="3">
        <v>0</v>
      </c>
      <c r="F9" s="4">
        <f t="shared" ref="F9:AI9" si="0">E9+$B$3</f>
        <v>0.433</v>
      </c>
      <c r="G9" s="4">
        <f t="shared" si="0"/>
        <v>0.86599999999999999</v>
      </c>
      <c r="H9" s="4">
        <f t="shared" si="0"/>
        <v>1.2989999999999999</v>
      </c>
      <c r="I9" s="4">
        <f t="shared" si="0"/>
        <v>1.732</v>
      </c>
      <c r="J9" s="4">
        <f t="shared" si="0"/>
        <v>2.165</v>
      </c>
      <c r="K9" s="4">
        <f t="shared" si="0"/>
        <v>2.5979999999999999</v>
      </c>
      <c r="L9" s="4">
        <f t="shared" si="0"/>
        <v>3.0309999999999997</v>
      </c>
      <c r="M9" s="4">
        <f t="shared" si="0"/>
        <v>3.4639999999999995</v>
      </c>
      <c r="N9" s="4">
        <f t="shared" si="0"/>
        <v>3.8969999999999994</v>
      </c>
      <c r="O9" s="4">
        <f t="shared" si="0"/>
        <v>4.3299999999999992</v>
      </c>
      <c r="P9" s="4">
        <f t="shared" si="0"/>
        <v>4.762999999999999</v>
      </c>
      <c r="Q9" s="4">
        <f t="shared" si="0"/>
        <v>5.1959999999999988</v>
      </c>
      <c r="R9" s="4">
        <f t="shared" si="0"/>
        <v>5.6289999999999987</v>
      </c>
      <c r="S9" s="4">
        <f t="shared" si="0"/>
        <v>6.0619999999999985</v>
      </c>
      <c r="T9" s="4">
        <f t="shared" si="0"/>
        <v>6.4949999999999983</v>
      </c>
      <c r="U9" s="4">
        <f t="shared" si="0"/>
        <v>6.9279999999999982</v>
      </c>
      <c r="V9" s="4">
        <f t="shared" si="0"/>
        <v>7.360999999999998</v>
      </c>
      <c r="W9" s="4">
        <f t="shared" si="0"/>
        <v>7.7939999999999978</v>
      </c>
      <c r="X9" s="4">
        <f t="shared" si="0"/>
        <v>8.2269999999999985</v>
      </c>
      <c r="Y9" s="4">
        <f t="shared" si="0"/>
        <v>8.6599999999999984</v>
      </c>
      <c r="Z9" s="4">
        <f t="shared" si="0"/>
        <v>9.0929999999999982</v>
      </c>
      <c r="AA9" s="4">
        <f t="shared" si="0"/>
        <v>9.525999999999998</v>
      </c>
      <c r="AB9" s="4">
        <f t="shared" si="0"/>
        <v>9.9589999999999979</v>
      </c>
      <c r="AC9" s="4">
        <f t="shared" si="0"/>
        <v>10.391999999999998</v>
      </c>
      <c r="AD9" s="4">
        <f t="shared" si="0"/>
        <v>10.824999999999998</v>
      </c>
      <c r="AE9" s="4">
        <f t="shared" si="0"/>
        <v>11.257999999999997</v>
      </c>
      <c r="AF9" s="4">
        <f t="shared" si="0"/>
        <v>11.690999999999997</v>
      </c>
      <c r="AG9" s="4">
        <f t="shared" si="0"/>
        <v>12.123999999999997</v>
      </c>
      <c r="AH9" s="4">
        <f t="shared" si="0"/>
        <v>12.556999999999997</v>
      </c>
      <c r="AI9" s="3">
        <f t="shared" si="0"/>
        <v>12.989999999999997</v>
      </c>
    </row>
    <row r="10" spans="1:35" x14ac:dyDescent="0.3">
      <c r="A10" s="2"/>
      <c r="B10" s="2"/>
      <c r="D10" s="2" t="s">
        <v>13</v>
      </c>
      <c r="E10" s="2">
        <f>(E13/B8)*B2+F10</f>
        <v>299.99999999998386</v>
      </c>
      <c r="F10" s="2">
        <v>293.33333333331717</v>
      </c>
      <c r="G10" s="2">
        <v>286.66666666665054</v>
      </c>
      <c r="H10" s="2">
        <v>279.99999999998397</v>
      </c>
      <c r="I10" s="2">
        <v>273.33333333331746</v>
      </c>
      <c r="J10" s="2">
        <v>266.666666666651</v>
      </c>
      <c r="K10" s="2">
        <v>259.9999999999846</v>
      </c>
      <c r="L10" s="2">
        <v>253.33333333331828</v>
      </c>
      <c r="M10" s="2">
        <v>246.66666666665196</v>
      </c>
      <c r="N10" s="2">
        <v>239.99999999998568</v>
      </c>
      <c r="O10" s="2">
        <v>233.33333333331942</v>
      </c>
      <c r="P10" s="2">
        <v>226.66666666665319</v>
      </c>
      <c r="Q10" s="2">
        <v>219.99999999998698</v>
      </c>
      <c r="R10" s="2">
        <v>213.33333333332081</v>
      </c>
      <c r="S10" s="2">
        <v>206.66666666665466</v>
      </c>
      <c r="T10" s="2">
        <v>199.99999999998855</v>
      </c>
      <c r="U10" s="2">
        <v>193.33333333332246</v>
      </c>
      <c r="V10" s="2">
        <v>186.6666666666564</v>
      </c>
      <c r="W10" s="2">
        <v>179.99999999999037</v>
      </c>
      <c r="X10" s="2">
        <v>173.33333333332436</v>
      </c>
      <c r="Y10" s="2">
        <v>166.66666666665839</v>
      </c>
      <c r="Z10" s="2">
        <v>159.99999999999244</v>
      </c>
      <c r="AA10" s="2">
        <v>153.33333333332652</v>
      </c>
      <c r="AB10" s="2">
        <v>146.66666666666063</v>
      </c>
      <c r="AC10" s="2">
        <v>139.99999999999477</v>
      </c>
      <c r="AD10" s="2">
        <v>133.33333333332894</v>
      </c>
      <c r="AE10" s="2">
        <v>126.66666666666313</v>
      </c>
      <c r="AF10" s="2">
        <v>119.99999999999733</v>
      </c>
      <c r="AG10" s="2">
        <v>113.33333333333154</v>
      </c>
      <c r="AH10" s="2">
        <v>106.66666666666576</v>
      </c>
      <c r="AI10" s="2">
        <v>100</v>
      </c>
    </row>
    <row r="11" spans="1:35" x14ac:dyDescent="0.3">
      <c r="A11" s="2" t="s">
        <v>11</v>
      </c>
      <c r="B11" s="2">
        <v>92000</v>
      </c>
    </row>
    <row r="12" spans="1:35" x14ac:dyDescent="0.3">
      <c r="A12" s="2" t="s">
        <v>12</v>
      </c>
      <c r="B12" s="2">
        <v>100</v>
      </c>
      <c r="D12" s="2" t="s">
        <v>14</v>
      </c>
      <c r="E12" s="2"/>
      <c r="F12" s="5">
        <f t="shared" ref="F12:AH12" si="1">F10+(($B$8*$B$3)/($B$7*$B$6))*((G10-2*F10+E10)/($B$2^2))</f>
        <v>293.33333333331717</v>
      </c>
      <c r="G12" s="5">
        <f t="shared" si="1"/>
        <v>286.66666666665054</v>
      </c>
      <c r="H12" s="5">
        <f t="shared" si="1"/>
        <v>279.99999999998397</v>
      </c>
      <c r="I12" s="5">
        <f t="shared" si="1"/>
        <v>273.33333333331746</v>
      </c>
      <c r="J12" s="5">
        <f t="shared" si="1"/>
        <v>266.666666666651</v>
      </c>
      <c r="K12" s="5">
        <f t="shared" si="1"/>
        <v>259.9999999999846</v>
      </c>
      <c r="L12" s="5">
        <f t="shared" si="1"/>
        <v>253.33333333331828</v>
      </c>
      <c r="M12" s="5">
        <f t="shared" si="1"/>
        <v>246.66666666665196</v>
      </c>
      <c r="N12" s="5">
        <f t="shared" si="1"/>
        <v>239.99999999998568</v>
      </c>
      <c r="O12" s="5">
        <f t="shared" si="1"/>
        <v>233.33333333331942</v>
      </c>
      <c r="P12" s="5">
        <f t="shared" si="1"/>
        <v>226.66666666665319</v>
      </c>
      <c r="Q12" s="5">
        <f t="shared" si="1"/>
        <v>219.99999999998698</v>
      </c>
      <c r="R12" s="5">
        <f t="shared" si="1"/>
        <v>213.33333333332081</v>
      </c>
      <c r="S12" s="5">
        <f t="shared" si="1"/>
        <v>206.66666666665466</v>
      </c>
      <c r="T12" s="5">
        <f t="shared" si="1"/>
        <v>199.99999999998855</v>
      </c>
      <c r="U12" s="5">
        <f t="shared" si="1"/>
        <v>193.33333333332246</v>
      </c>
      <c r="V12" s="5">
        <f t="shared" si="1"/>
        <v>186.6666666666564</v>
      </c>
      <c r="W12" s="5">
        <f t="shared" si="1"/>
        <v>179.99999999999037</v>
      </c>
      <c r="X12" s="5">
        <f t="shared" si="1"/>
        <v>173.33333333332436</v>
      </c>
      <c r="Y12" s="5">
        <f t="shared" si="1"/>
        <v>166.66666666665839</v>
      </c>
      <c r="Z12" s="5">
        <f t="shared" si="1"/>
        <v>159.99999999999244</v>
      </c>
      <c r="AA12" s="5">
        <f t="shared" si="1"/>
        <v>153.33333333332652</v>
      </c>
      <c r="AB12" s="5">
        <f t="shared" si="1"/>
        <v>146.66666666666063</v>
      </c>
      <c r="AC12" s="5">
        <f t="shared" si="1"/>
        <v>139.99999999999477</v>
      </c>
      <c r="AD12" s="5">
        <f t="shared" si="1"/>
        <v>133.33333333332894</v>
      </c>
      <c r="AE12" s="5">
        <f t="shared" si="1"/>
        <v>126.66666666666313</v>
      </c>
      <c r="AF12" s="5">
        <f t="shared" si="1"/>
        <v>119.99999999999733</v>
      </c>
      <c r="AG12" s="5">
        <f t="shared" si="1"/>
        <v>113.33333333333154</v>
      </c>
      <c r="AH12" s="5">
        <f t="shared" si="1"/>
        <v>106.66666666666576</v>
      </c>
      <c r="AI12" s="5"/>
    </row>
    <row r="13" spans="1:35" x14ac:dyDescent="0.3">
      <c r="D13" s="6" t="s">
        <v>15</v>
      </c>
      <c r="E13">
        <f>B11</f>
        <v>92000</v>
      </c>
      <c r="F13">
        <f t="shared" ref="F13:AH13" si="2">-$B$8*((F10-E10))/$B$2</f>
        <v>92000.000000000262</v>
      </c>
      <c r="G13">
        <f t="shared" si="2"/>
        <v>91999.999999999476</v>
      </c>
      <c r="H13">
        <f t="shared" si="2"/>
        <v>91999.99999999869</v>
      </c>
      <c r="I13">
        <f t="shared" si="2"/>
        <v>91999.999999997905</v>
      </c>
      <c r="J13">
        <f t="shared" si="2"/>
        <v>91999.999999997119</v>
      </c>
      <c r="K13">
        <f t="shared" si="2"/>
        <v>91999.999999996333</v>
      </c>
      <c r="L13">
        <f t="shared" si="2"/>
        <v>91999.999999995154</v>
      </c>
      <c r="M13">
        <f t="shared" si="2"/>
        <v>91999.999999995154</v>
      </c>
      <c r="N13">
        <f t="shared" si="2"/>
        <v>91999.999999994761</v>
      </c>
      <c r="O13">
        <f t="shared" si="2"/>
        <v>91999.999999994368</v>
      </c>
      <c r="P13">
        <f t="shared" si="2"/>
        <v>91999.999999993976</v>
      </c>
      <c r="Q13">
        <f t="shared" si="2"/>
        <v>91999.999999993583</v>
      </c>
      <c r="R13">
        <f t="shared" si="2"/>
        <v>91999.99999999319</v>
      </c>
      <c r="S13">
        <f t="shared" si="2"/>
        <v>91999.999999992797</v>
      </c>
      <c r="T13">
        <f t="shared" si="2"/>
        <v>91999.999999992418</v>
      </c>
      <c r="U13">
        <f t="shared" si="2"/>
        <v>91999.999999992026</v>
      </c>
      <c r="V13">
        <f t="shared" si="2"/>
        <v>91999.999999991633</v>
      </c>
      <c r="W13">
        <f t="shared" si="2"/>
        <v>91999.99999999124</v>
      </c>
      <c r="X13">
        <f t="shared" si="2"/>
        <v>91999.999999990847</v>
      </c>
      <c r="Y13">
        <f t="shared" si="2"/>
        <v>91999.999999990454</v>
      </c>
      <c r="Z13">
        <f t="shared" si="2"/>
        <v>91999.999999990061</v>
      </c>
      <c r="AA13">
        <f t="shared" si="2"/>
        <v>91999.999999989668</v>
      </c>
      <c r="AB13">
        <f t="shared" si="2"/>
        <v>91999.999999989275</v>
      </c>
      <c r="AC13">
        <f t="shared" si="2"/>
        <v>91999.999999988882</v>
      </c>
      <c r="AD13">
        <f t="shared" si="2"/>
        <v>91999.999999988489</v>
      </c>
      <c r="AE13">
        <f t="shared" si="2"/>
        <v>91999.999999988097</v>
      </c>
      <c r="AF13">
        <f t="shared" si="2"/>
        <v>91999.999999988097</v>
      </c>
      <c r="AG13">
        <f t="shared" si="2"/>
        <v>91999.999999987907</v>
      </c>
      <c r="AH13">
        <f t="shared" si="2"/>
        <v>91999.999999987704</v>
      </c>
    </row>
    <row r="16" spans="1:35" x14ac:dyDescent="0.3">
      <c r="A16">
        <f>(B7*B6*B2^2)/(2*B8)</f>
        <v>0.4333333333333334</v>
      </c>
    </row>
  </sheetData>
  <conditionalFormatting sqref="D10:AI10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I16"/>
  <sheetViews>
    <sheetView tabSelected="1" topLeftCell="A7" workbookViewId="0">
      <selection activeCell="E31" sqref="E31"/>
    </sheetView>
  </sheetViews>
  <sheetFormatPr defaultRowHeight="14.4" x14ac:dyDescent="0.3"/>
  <sheetData>
    <row r="1" spans="1:35" x14ac:dyDescent="0.3">
      <c r="A1" s="2" t="s">
        <v>0</v>
      </c>
      <c r="B1" s="2">
        <v>0.1</v>
      </c>
    </row>
    <row r="2" spans="1:35" x14ac:dyDescent="0.3">
      <c r="A2" s="2" t="s">
        <v>1</v>
      </c>
      <c r="B2" s="2">
        <f>B1/30</f>
        <v>3.3333333333333335E-3</v>
      </c>
    </row>
    <row r="3" spans="1:35" x14ac:dyDescent="0.3">
      <c r="A3" s="2" t="s">
        <v>2</v>
      </c>
      <c r="B3" s="2">
        <v>0.433</v>
      </c>
    </row>
    <row r="4" spans="1:35" x14ac:dyDescent="0.3">
      <c r="A4" s="2" t="s">
        <v>3</v>
      </c>
      <c r="B4" s="2">
        <v>200</v>
      </c>
      <c r="C4">
        <v>200.04599999999999</v>
      </c>
    </row>
    <row r="5" spans="1:35" x14ac:dyDescent="0.3">
      <c r="A5" s="2"/>
      <c r="B5" s="2"/>
    </row>
    <row r="6" spans="1:35" x14ac:dyDescent="0.3">
      <c r="A6" s="2" t="s">
        <v>4</v>
      </c>
      <c r="B6" s="2">
        <v>460</v>
      </c>
    </row>
    <row r="7" spans="1:35" x14ac:dyDescent="0.3">
      <c r="A7" s="2" t="s">
        <v>9</v>
      </c>
      <c r="B7" s="2">
        <v>7800</v>
      </c>
    </row>
    <row r="8" spans="1:35" x14ac:dyDescent="0.3">
      <c r="A8" s="2" t="s">
        <v>10</v>
      </c>
      <c r="B8" s="2">
        <v>46</v>
      </c>
      <c r="E8" s="2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2">
        <v>12</v>
      </c>
      <c r="Q8" s="2">
        <v>13</v>
      </c>
      <c r="R8" s="2">
        <v>14</v>
      </c>
      <c r="S8" s="2">
        <v>15</v>
      </c>
      <c r="T8" s="2">
        <v>16</v>
      </c>
      <c r="U8" s="2">
        <v>17</v>
      </c>
      <c r="V8" s="2">
        <v>18</v>
      </c>
      <c r="W8" s="2">
        <v>19</v>
      </c>
      <c r="X8" s="2">
        <v>20</v>
      </c>
      <c r="Y8" s="2">
        <v>21</v>
      </c>
      <c r="Z8" s="2">
        <v>22</v>
      </c>
      <c r="AA8" s="2">
        <v>23</v>
      </c>
      <c r="AB8" s="2">
        <v>24</v>
      </c>
      <c r="AC8" s="2">
        <v>25</v>
      </c>
      <c r="AD8" s="2">
        <v>26</v>
      </c>
      <c r="AE8" s="2">
        <v>27</v>
      </c>
      <c r="AF8" s="2">
        <v>28</v>
      </c>
      <c r="AG8" s="2">
        <v>29</v>
      </c>
      <c r="AH8" s="2">
        <v>30</v>
      </c>
      <c r="AI8" s="2">
        <v>31</v>
      </c>
    </row>
    <row r="9" spans="1:35" x14ac:dyDescent="0.3">
      <c r="A9" s="2" t="s">
        <v>16</v>
      </c>
      <c r="B9" s="2">
        <v>1000</v>
      </c>
      <c r="D9" t="s">
        <v>0</v>
      </c>
      <c r="E9" s="3">
        <v>0</v>
      </c>
      <c r="F9" s="4">
        <f>E9+$B$3</f>
        <v>0.433</v>
      </c>
      <c r="G9" s="4">
        <f>F9+$B$3</f>
        <v>0.86599999999999999</v>
      </c>
      <c r="H9" s="4">
        <f>G9+$B$3</f>
        <v>1.2989999999999999</v>
      </c>
      <c r="I9" s="4">
        <f>H9+$B$3</f>
        <v>1.732</v>
      </c>
      <c r="J9" s="4">
        <f>I9+$B$3</f>
        <v>2.165</v>
      </c>
      <c r="K9" s="4">
        <f>J9+$B$3</f>
        <v>2.5979999999999999</v>
      </c>
      <c r="L9" s="4">
        <f>K9+$B$3</f>
        <v>3.0309999999999997</v>
      </c>
      <c r="M9" s="4">
        <f>L9+$B$3</f>
        <v>3.4639999999999995</v>
      </c>
      <c r="N9" s="4">
        <f>M9+$B$3</f>
        <v>3.8969999999999994</v>
      </c>
      <c r="O9" s="4">
        <f>N9+$B$3</f>
        <v>4.3299999999999992</v>
      </c>
      <c r="P9" s="4">
        <f>O9+$B$3</f>
        <v>4.762999999999999</v>
      </c>
      <c r="Q9" s="4">
        <f>P9+$B$3</f>
        <v>5.1959999999999988</v>
      </c>
      <c r="R9" s="4">
        <f>Q9+$B$3</f>
        <v>5.6289999999999987</v>
      </c>
      <c r="S9" s="4">
        <f>R9+$B$3</f>
        <v>6.0619999999999985</v>
      </c>
      <c r="T9" s="4">
        <f>S9+$B$3</f>
        <v>6.4949999999999983</v>
      </c>
      <c r="U9" s="4">
        <f>T9+$B$3</f>
        <v>6.9279999999999982</v>
      </c>
      <c r="V9" s="4">
        <f>U9+$B$3</f>
        <v>7.360999999999998</v>
      </c>
      <c r="W9" s="4">
        <f>V9+$B$3</f>
        <v>7.7939999999999978</v>
      </c>
      <c r="X9" s="4">
        <f>W9+$B$3</f>
        <v>8.2269999999999985</v>
      </c>
      <c r="Y9" s="4">
        <f>X9+$B$3</f>
        <v>8.6599999999999984</v>
      </c>
      <c r="Z9" s="4">
        <f>Y9+$B$3</f>
        <v>9.0929999999999982</v>
      </c>
      <c r="AA9" s="4">
        <f>Z9+$B$3</f>
        <v>9.525999999999998</v>
      </c>
      <c r="AB9" s="4">
        <f>AA9+$B$3</f>
        <v>9.9589999999999979</v>
      </c>
      <c r="AC9" s="4">
        <f>AB9+$B$3</f>
        <v>10.391999999999998</v>
      </c>
      <c r="AD9" s="4">
        <f>AC9+$B$3</f>
        <v>10.824999999999998</v>
      </c>
      <c r="AE9" s="4">
        <f>AD9+$B$3</f>
        <v>11.257999999999997</v>
      </c>
      <c r="AF9" s="4">
        <f>AE9+$B$3</f>
        <v>11.690999999999997</v>
      </c>
      <c r="AG9" s="4">
        <f>AF9+$B$3</f>
        <v>12.123999999999997</v>
      </c>
      <c r="AH9" s="4">
        <f>AG9+$B$3</f>
        <v>12.556999999999997</v>
      </c>
      <c r="AI9" s="3">
        <f>AH9+$B$3</f>
        <v>12.989999999999997</v>
      </c>
    </row>
    <row r="10" spans="1:35" x14ac:dyDescent="0.3">
      <c r="A10" s="2"/>
      <c r="B10" s="2"/>
      <c r="D10" s="2" t="s">
        <v>13</v>
      </c>
      <c r="E10" s="2">
        <f>((E13/B8)*B2)-F10</f>
        <v>8.6698129690905539</v>
      </c>
      <c r="F10" s="2">
        <v>11.620042103373216</v>
      </c>
      <c r="G10" s="2">
        <v>14.683200067404508</v>
      </c>
      <c r="H10" s="2">
        <v>17.634637019822851</v>
      </c>
      <c r="I10" s="2">
        <v>20.698923504479158</v>
      </c>
      <c r="J10" s="2">
        <v>23.653940143814484</v>
      </c>
      <c r="K10" s="2">
        <v>26.720411063680451</v>
      </c>
      <c r="L10" s="2">
        <v>29.681249811724996</v>
      </c>
      <c r="M10" s="2">
        <v>32.750819395250154</v>
      </c>
      <c r="N10" s="2">
        <v>35.719513031279398</v>
      </c>
      <c r="O10" s="2">
        <v>38.792891630469633</v>
      </c>
      <c r="P10" s="2">
        <v>41.771191964471697</v>
      </c>
      <c r="Q10" s="2">
        <v>44.848833801352988</v>
      </c>
      <c r="R10" s="2">
        <v>47.838152206832454</v>
      </c>
      <c r="S10" s="2">
        <v>50.920215646447353</v>
      </c>
      <c r="T10" s="2">
        <v>53.921577917116963</v>
      </c>
      <c r="U10" s="2">
        <v>57.007900279968744</v>
      </c>
      <c r="V10" s="2">
        <v>60.021917639293655</v>
      </c>
      <c r="W10" s="2">
        <v>63.112005895873295</v>
      </c>
      <c r="X10" s="2">
        <v>66.13886327281827</v>
      </c>
      <c r="Y10" s="2">
        <v>69.2319012295725</v>
      </c>
      <c r="Z10" s="2">
        <v>72.271363150204579</v>
      </c>
      <c r="AA10" s="2">
        <v>75.366234973338734</v>
      </c>
      <c r="AB10" s="2">
        <v>78.417668640484919</v>
      </c>
      <c r="AC10" s="2">
        <v>81.512997806019797</v>
      </c>
      <c r="AD10" s="2">
        <v>84.575412182898702</v>
      </c>
      <c r="AE10" s="2">
        <v>87.669614222892577</v>
      </c>
      <c r="AF10" s="2">
        <v>90.741713235478215</v>
      </c>
      <c r="AG10" s="2">
        <v>93.833060003995683</v>
      </c>
      <c r="AH10" s="2">
        <v>96.913307362271354</v>
      </c>
      <c r="AI10" s="2">
        <v>100</v>
      </c>
    </row>
    <row r="11" spans="1:35" x14ac:dyDescent="0.3">
      <c r="A11" s="2" t="s">
        <v>17</v>
      </c>
      <c r="B11" s="2">
        <v>20</v>
      </c>
    </row>
    <row r="12" spans="1:35" x14ac:dyDescent="0.3">
      <c r="A12" s="2" t="s">
        <v>12</v>
      </c>
      <c r="B12" s="2">
        <v>300</v>
      </c>
      <c r="D12" s="2" t="s">
        <v>14</v>
      </c>
      <c r="E12" s="2"/>
      <c r="F12" s="5">
        <f>F10+(($B$8*$B$3)/($B$7*$B$6))*((G10-2*F10+E10)/($B$2^2))</f>
        <v>11.676463084082243</v>
      </c>
      <c r="G12" s="5">
        <f>G10+(($B$8*$B$3)/($B$7*$B$6))*((H10-2*G10+F10)/($B$2^2))</f>
        <v>14.627382531217885</v>
      </c>
      <c r="H12" s="5">
        <f>H10+(($B$8*$B$3)/($B$7*$B$6))*((I10-2*H10+G10)/($B$2^2))</f>
        <v>17.691018382275587</v>
      </c>
      <c r="I12" s="5">
        <f>I10+(($B$8*$B$3)/($B$7*$B$6))*((J10-2*I10+H10)/($B$2^2))</f>
        <v>20.644330608682253</v>
      </c>
      <c r="J12" s="5">
        <f>J10+(($B$8*$B$3)/($B$7*$B$6))*((K10-2*J10+I10)/($B$2^2))</f>
        <v>23.709624417048833</v>
      </c>
      <c r="K12" s="5">
        <f>K10+(($B$8*$B$3)/($B$7*$B$6))*((L10-2*K10+J10)/($B$2^2))</f>
        <v>26.667635605528133</v>
      </c>
      <c r="L12" s="5">
        <f>L10+(($B$8*$B$3)/($B$7*$B$6))*((M10-2*L10+K10)/($B$2^2))</f>
        <v>29.735573409913194</v>
      </c>
      <c r="M12" s="5">
        <f>M10+(($B$8*$B$3)/($B$7*$B$6))*((N10-2*M10+L10)/($B$2^2))</f>
        <v>32.700420219943538</v>
      </c>
      <c r="N12" s="5">
        <f>N10+(($B$8*$B$3)/($B$7*$B$6))*((O10-2*N10+M10)/($B$2^2))</f>
        <v>35.771815249412526</v>
      </c>
      <c r="O12" s="5">
        <f>O10+(($B$8*$B$3)/($B$7*$B$6))*((P10-2*O10+N10)/($B$2^2))</f>
        <v>38.745389066439081</v>
      </c>
      <c r="P12" s="5">
        <f>P10+(($B$8*$B$3)/($B$7*$B$6))*((Q10-2*P10+O10)/($B$2^2))</f>
        <v>41.820824507640971</v>
      </c>
      <c r="Q12" s="5">
        <f>Q10+(($B$8*$B$3)/($B$7*$B$6))*((R10-2*Q10+P10)/($B$2^2))</f>
        <v>44.804706056202612</v>
      </c>
      <c r="R12" s="5">
        <f>R10+(($B$8*$B$3)/($B$7*$B$6))*((S10-2*R10+Q10)/($B$2^2))</f>
        <v>47.884489052733194</v>
      </c>
      <c r="S12" s="5">
        <f>S10+(($B$8*$B$3)/($B$7*$B$6))*((T10-2*S10+R10)/($B$2^2))</f>
        <v>50.879896100885844</v>
      </c>
      <c r="T12" s="5">
        <f>T10+(($B$8*$B$3)/($B$7*$B$6))*((U10-2*T10+S10)/($B$2^2))</f>
        <v>53.964025286249516</v>
      </c>
      <c r="U12" s="5">
        <f>U10+(($B$8*$B$3)/($B$7*$B$6))*((V10-2*U10+T10)/($B$2^2))</f>
        <v>56.971775587822052</v>
      </c>
      <c r="V12" s="5">
        <f>V10+(($B$8*$B$3)/($B$7*$B$6))*((W10-2*V10+U10)/($B$2^2))</f>
        <v>60.059923829883616</v>
      </c>
      <c r="W12" s="5">
        <f>W10+(($B$8*$B$3)/($B$7*$B$6))*((X10-2*W10+V10)/($B$2^2))</f>
        <v>63.080414775625052</v>
      </c>
      <c r="X12" s="5">
        <f>X10+(($B$8*$B$3)/($B$7*$B$6))*((Y10-2*X10+W10)/($B$2^2))</f>
        <v>66.171928108653745</v>
      </c>
      <c r="Y12" s="5">
        <f>Y10+(($B$8*$B$3)/($B$7*$B$6))*((Z10-2*Y10+X10)/($B$2^2))</f>
        <v>69.205133817679169</v>
      </c>
      <c r="Z12" s="5">
        <f>Z10+(($B$8*$B$3)/($B$7*$B$6))*((AA10-2*Z10+Y10)/($B$2^2))</f>
        <v>72.299046789954659</v>
      </c>
      <c r="AA12" s="5">
        <f>AA10+(($B$8*$B$3)/($B$7*$B$6))*((AB10-2*AA10+Z10)/($B$2^2))</f>
        <v>75.344532602327817</v>
      </c>
      <c r="AB12" s="5">
        <f>AB10+(($B$8*$B$3)/($B$7*$B$6))*((AC10-2*AB10+AA10)/($B$2^2))</f>
        <v>78.439599506795275</v>
      </c>
      <c r="AC12" s="5">
        <f>AC10+(($B$8*$B$3)/($B$7*$B$6))*((AD10-2*AC10+AB10)/($B$2^2))</f>
        <v>81.496553071225904</v>
      </c>
      <c r="AD12" s="5">
        <f>AD10+(($B$8*$B$3)/($B$7*$B$6))*((AE10-2*AD10+AC10)/($B$2^2))</f>
        <v>84.591293788431912</v>
      </c>
      <c r="AE12" s="5">
        <f>AE10+(($B$8*$B$3)/($B$7*$B$6))*((AF10-2*AE10+AD10)/($B$2^2))</f>
        <v>87.658571210352846</v>
      </c>
      <c r="AF12" s="5">
        <f>AF10+(($B$8*$B$3)/($B$7*$B$6))*((AG10-2*AF10+AE10)/($B$2^2))</f>
        <v>90.751329710461079</v>
      </c>
      <c r="AG12" s="5">
        <f>AG10+(($B$8*$B$3)/($B$7*$B$6))*((AH10-2*AG10+AF10)/($B$2^2))</f>
        <v>93.827514567878723</v>
      </c>
      <c r="AH12" s="5">
        <f>AH10+(($B$8*$B$3)/($B$7*$B$6))*((AI10-2*AH10+AG10)/($B$2^2))</f>
        <v>96.916527523044209</v>
      </c>
      <c r="AI12" s="5">
        <f>AI10+(($B$8*$B$3)/($B$7*$B$6))*((AK14-2*AI10+AH10)/($B$2^2))</f>
        <v>48.496302409073273</v>
      </c>
    </row>
    <row r="13" spans="1:35" x14ac:dyDescent="0.3">
      <c r="D13" s="6" t="s">
        <v>18</v>
      </c>
      <c r="E13">
        <f>B9*(B12-B11)</f>
        <v>280000</v>
      </c>
      <c r="F13">
        <f>-$B$8*((F10-E10))/$B$2</f>
        <v>-40713.162053100728</v>
      </c>
      <c r="G13">
        <f>-$B$8*((G10-F10))/$B$2</f>
        <v>-42271.579903631835</v>
      </c>
      <c r="H13">
        <f>-$B$8*((H10-G10))/$B$2</f>
        <v>-40729.829943373123</v>
      </c>
      <c r="I13">
        <f>-$B$8*((I10-H10))/$B$2</f>
        <v>-42287.153488257034</v>
      </c>
      <c r="J13">
        <f>-$B$8*((J10-I10))/$B$2</f>
        <v>-40779.229622827501</v>
      </c>
      <c r="K13">
        <f>-$B$8*((K10-J10))/$B$2</f>
        <v>-42317.298694150348</v>
      </c>
      <c r="L13">
        <f>-$B$8*((L10-K10))/$B$2</f>
        <v>-40859.574723014703</v>
      </c>
      <c r="M13">
        <f>-$B$8*((M10-L10))/$B$2</f>
        <v>-42360.060252647185</v>
      </c>
      <c r="N13">
        <f>-$B$8*((N10-M10))/$B$2</f>
        <v>-40967.972177203555</v>
      </c>
      <c r="O13">
        <f>-$B$8*((O10-N10))/$B$2</f>
        <v>-42412.624668825243</v>
      </c>
      <c r="P13">
        <f>-$B$8*((P10-O10))/$B$2</f>
        <v>-41100.544609228484</v>
      </c>
      <c r="Q13">
        <f>-$B$8*((Q10-P10))/$B$2</f>
        <v>-42471.457348961812</v>
      </c>
      <c r="R13">
        <f>-$B$8*((R10-Q10))/$B$2</f>
        <v>-41252.593995616626</v>
      </c>
      <c r="S13">
        <f>-$B$8*((S10-R10))/$B$2</f>
        <v>-42532.475466685602</v>
      </c>
      <c r="T13">
        <f>-$B$8*((T10-S10))/$B$2</f>
        <v>-41418.799335240612</v>
      </c>
      <c r="U13">
        <f>-$B$8*((U10-T10))/$B$2</f>
        <v>-42591.248607354588</v>
      </c>
      <c r="V13">
        <f>-$B$8*((V10-U10))/$B$2</f>
        <v>-41593.439558683756</v>
      </c>
      <c r="W13">
        <f>-$B$8*((W10-V10))/$B$2</f>
        <v>-42643.217940799048</v>
      </c>
      <c r="X13">
        <f>-$B$8*((X10-W10))/$B$2</f>
        <v>-41770.631801840645</v>
      </c>
      <c r="Y13">
        <f>-$B$8*((Y10-X10))/$B$2</f>
        <v>-42683.923803208374</v>
      </c>
      <c r="Z13">
        <f>-$B$8*((Z10-Y10))/$B$2</f>
        <v>-41944.574504722681</v>
      </c>
      <c r="AA13">
        <f>-$B$8*((AA10-Z10))/$B$2</f>
        <v>-42709.231159251351</v>
      </c>
      <c r="AB13">
        <f>-$B$8*((AB10-AA10))/$B$2</f>
        <v>-42109.784606617344</v>
      </c>
      <c r="AC13">
        <f>-$B$8*((AC10-AB10))/$B$2</f>
        <v>-42715.542484381309</v>
      </c>
      <c r="AD13">
        <f>-$B$8*((AD10-AC10))/$B$2</f>
        <v>-42261.318400928889</v>
      </c>
      <c r="AE13">
        <f>-$B$8*((AE10-AD10))/$B$2</f>
        <v>-42699.988151915459</v>
      </c>
      <c r="AF13">
        <f>-$B$8*((AF10-AE10))/$B$2</f>
        <v>-42394.966373681811</v>
      </c>
      <c r="AG13">
        <f>-$B$8*((AG10-AF10))/$B$2</f>
        <v>-42660.585405541053</v>
      </c>
      <c r="AH13">
        <f>-$B$8*((AH10-AG10))/$B$2</f>
        <v>-42507.413544204246</v>
      </c>
      <c r="AI13">
        <f>-$B$8*((AI10-AH10))/$B$2</f>
        <v>-42596.358400655314</v>
      </c>
    </row>
    <row r="16" spans="1:35" x14ac:dyDescent="0.3">
      <c r="A16">
        <f>(B7*B6*B2^2)/(2*B8)</f>
        <v>0.4333333333333334</v>
      </c>
    </row>
  </sheetData>
  <conditionalFormatting sqref="D10:AI10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2021-02-19T10:02:29Z</dcterms:created>
  <dcterms:modified xsi:type="dcterms:W3CDTF">2021-03-03T17:25:11Z</dcterms:modified>
</cp:coreProperties>
</file>